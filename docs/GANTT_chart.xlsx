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User\OneDrive\Documents\University\Semester 6\SEM6\"/>
    </mc:Choice>
  </mc:AlternateContent>
  <xr:revisionPtr revIDLastSave="0" documentId="13_ncr:1_{D725DF35-E1EF-4AB6-82A7-A239BEAF97F1}" xr6:coauthVersionLast="47" xr6:coauthVersionMax="47" xr10:uidLastSave="{00000000-0000-0000-0000-000000000000}"/>
  <bookViews>
    <workbookView xWindow="-108" yWindow="-108" windowWidth="30936" windowHeight="16776" xr2:uid="{00000000-000D-0000-FFFF-FFFF00000000}"/>
  </bookViews>
  <sheets>
    <sheet name="Project schedule" sheetId="11" r:id="rId1"/>
  </sheets>
  <definedNames>
    <definedName name="Display_Week">'Project schedule'!$Q$3</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F9" i="11" s="1"/>
  <c r="E10" i="11" s="1"/>
  <c r="F10" i="11" s="1"/>
  <c r="E11" i="11" s="1"/>
  <c r="F11" i="11" s="1"/>
  <c r="E12" i="11" s="1"/>
  <c r="F12" i="11" s="1"/>
  <c r="E13" i="11" s="1"/>
  <c r="F13" i="11" s="1"/>
  <c r="E14" i="11" s="1"/>
  <c r="F14" i="11" s="1"/>
  <c r="E15" i="11" s="1"/>
  <c r="F15" i="11" s="1"/>
  <c r="E16" i="11" s="1"/>
  <c r="F16" i="11" s="1"/>
  <c r="H15" i="11" l="1"/>
  <c r="H14" i="11"/>
  <c r="H13" i="11"/>
  <c r="H7" i="11"/>
  <c r="I5" i="11" l="1"/>
  <c r="I4" i="11" s="1"/>
  <c r="H17" i="11"/>
  <c r="H8" i="11"/>
  <c r="I6" i="11" l="1"/>
  <c r="H16" i="11" l="1"/>
  <c r="H12" i="11"/>
  <c r="H9" i="11"/>
  <c r="J5" i="11"/>
  <c r="K5" i="11" s="1"/>
  <c r="L5" i="11" s="1"/>
  <c r="M5" i="11" s="1"/>
  <c r="N5" i="11" s="1"/>
  <c r="O5" i="11" s="1"/>
  <c r="P5" i="11" s="1"/>
  <c r="H10" i="11" l="1"/>
  <c r="H11"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6" i="11" l="1"/>
  <c r="BN5" i="11"/>
  <c r="BM4" i="11"/>
  <c r="BL6" i="11"/>
  <c r="AG6" i="11"/>
  <c r="BN6" i="11" l="1"/>
  <c r="BO5" i="11"/>
  <c r="AH6" i="11"/>
  <c r="BP5" i="11" l="1"/>
  <c r="BO6" i="11"/>
  <c r="AI6" i="11"/>
  <c r="BQ5" i="11" l="1"/>
  <c r="BP6" i="11"/>
  <c r="AJ6" i="11"/>
  <c r="BQ6" i="11" l="1"/>
  <c r="BR5" i="11"/>
  <c r="AK6" i="11"/>
  <c r="BS5" i="11" l="1"/>
  <c r="BR6" i="11"/>
  <c r="AL6" i="11"/>
  <c r="BS6" i="11" l="1"/>
  <c r="BT5" i="11"/>
  <c r="AM6" i="11"/>
  <c r="BT4" i="11" l="1"/>
  <c r="BT6" i="11"/>
  <c r="BU5" i="11"/>
  <c r="AN6" i="11"/>
  <c r="BU6" i="11" l="1"/>
  <c r="BV5" i="11"/>
  <c r="AO6" i="11"/>
  <c r="BV6" i="11" l="1"/>
  <c r="BW5" i="11"/>
  <c r="AP6" i="11"/>
  <c r="BW6" i="11" l="1"/>
  <c r="BX5" i="11"/>
  <c r="AQ6" i="11"/>
  <c r="BX6" i="11" l="1"/>
  <c r="BY5" i="11"/>
  <c r="AR6" i="11"/>
  <c r="BY6" i="11" l="1"/>
  <c r="BZ5" i="11"/>
  <c r="BZ6" i="11" l="1"/>
  <c r="CA5" i="11"/>
  <c r="CA4" i="11" l="1"/>
  <c r="CB5" i="11"/>
  <c r="CA6" i="11"/>
  <c r="CB6" i="11" l="1"/>
  <c r="CC5" i="11"/>
  <c r="CC6" i="11" l="1"/>
  <c r="CD5" i="11"/>
  <c r="CD6" i="11" l="1"/>
  <c r="CE5" i="11"/>
  <c r="CE6" i="11" l="1"/>
  <c r="CF5" i="11"/>
  <c r="CF6" i="11" l="1"/>
  <c r="CG5" i="11"/>
  <c r="CG6" i="11" l="1"/>
  <c r="CH5" i="11"/>
  <c r="CH4" i="11" l="1"/>
  <c r="CH6" i="11"/>
  <c r="CI5" i="11"/>
  <c r="CI6" i="11" l="1"/>
  <c r="CJ5" i="11"/>
  <c r="CJ6" i="11" l="1"/>
  <c r="CK5" i="11"/>
  <c r="CK6" i="11" l="1"/>
  <c r="CL5" i="11"/>
  <c r="CL6" i="11" l="1"/>
  <c r="CM5" i="11"/>
  <c r="CM6" i="11" l="1"/>
  <c r="CN5" i="11"/>
  <c r="CN6" i="11" l="1"/>
  <c r="CO5" i="11"/>
  <c r="CO4" i="11" l="1"/>
  <c r="CP5" i="11"/>
  <c r="CO6" i="11"/>
  <c r="CP6" i="11" l="1"/>
  <c r="CQ5" i="11"/>
  <c r="CQ6" i="11" l="1"/>
  <c r="CR5" i="11"/>
  <c r="CR6" i="11" l="1"/>
  <c r="CS5" i="11"/>
  <c r="CS6" i="11" l="1"/>
  <c r="CT5" i="11"/>
  <c r="CT6" i="11" l="1"/>
  <c r="CU5" i="11"/>
  <c r="CU6" i="11" l="1"/>
  <c r="CV5" i="11"/>
  <c r="CV4" i="11" l="1"/>
  <c r="CV6" i="11"/>
  <c r="CW5" i="11"/>
  <c r="CX5" i="11" l="1"/>
  <c r="CW6" i="11"/>
  <c r="CY5" i="11" l="1"/>
  <c r="CX6" i="11"/>
  <c r="CZ5" i="11" l="1"/>
  <c r="CY6" i="11"/>
  <c r="DA5" i="11" l="1"/>
  <c r="CZ6" i="11"/>
  <c r="DB5" i="11" l="1"/>
  <c r="DA6" i="11"/>
  <c r="DB6" i="11" l="1"/>
  <c r="DC5" i="11"/>
  <c r="DD5" i="11" l="1"/>
  <c r="DC6" i="11"/>
  <c r="DC4" i="11"/>
  <c r="DE5" i="11" l="1"/>
  <c r="DD6" i="11"/>
  <c r="DF5" i="11" l="1"/>
  <c r="DE6" i="11"/>
  <c r="DG5" i="11" l="1"/>
  <c r="DF6" i="11"/>
  <c r="DH5" i="11" l="1"/>
  <c r="DG6" i="11"/>
  <c r="DI5" i="11" l="1"/>
  <c r="DH6" i="11"/>
  <c r="DJ5" i="11" l="1"/>
  <c r="DI6" i="11"/>
  <c r="DJ4" i="11" l="1"/>
  <c r="DK5" i="11"/>
  <c r="DJ6" i="11"/>
  <c r="DK6" i="11" l="1"/>
  <c r="DL5" i="11"/>
  <c r="DL6" i="11" l="1"/>
  <c r="DM5" i="11"/>
  <c r="DM6" i="11" l="1"/>
  <c r="DN5" i="11"/>
  <c r="DN6" i="11" l="1"/>
  <c r="DO5" i="11"/>
  <c r="DO6" i="11" l="1"/>
  <c r="DP5" i="11"/>
  <c r="DP6" i="11" l="1"/>
  <c r="DQ5" i="11"/>
  <c r="DQ6" i="11" l="1"/>
  <c r="DR5" i="11"/>
  <c r="DQ4" i="11"/>
  <c r="DS5" i="11" l="1"/>
  <c r="DR6" i="11"/>
  <c r="DT5" i="11" l="1"/>
  <c r="DS6" i="11"/>
  <c r="DU5" i="11" l="1"/>
  <c r="DT6" i="11"/>
  <c r="DV5" i="11" l="1"/>
  <c r="DU6" i="11"/>
  <c r="DW5" i="11" l="1"/>
  <c r="DW6" i="11" s="1"/>
  <c r="DV6" i="1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<sst xmlns="http://schemas.openxmlformats.org/spreadsheetml/2006/main" count="22" uniqueCount="22">
  <si>
    <t>Project start:</t>
  </si>
  <si>
    <t>Expert in Teams (EXT25)</t>
  </si>
  <si>
    <t>Project End:</t>
  </si>
  <si>
    <t>Display Week:</t>
  </si>
  <si>
    <t>(Don't change this)</t>
  </si>
  <si>
    <t>TASK</t>
  </si>
  <si>
    <t>PROGRESS</t>
  </si>
  <si>
    <t>START</t>
  </si>
  <si>
    <t>END</t>
  </si>
  <si>
    <t xml:space="preserve">Do not delete this row. This row is hidden to preserve a formula that is used to highlight the current day within the project schedule. </t>
  </si>
  <si>
    <t>Software</t>
  </si>
  <si>
    <t>Insert new rows ABOVE this one (Don't delete this row)</t>
  </si>
  <si>
    <t>How to Use the Simple Gantt Chart</t>
  </si>
  <si>
    <t>Sprint 1 (Plan/Analysis)</t>
  </si>
  <si>
    <t>Sprint 2 (Desjgn)</t>
  </si>
  <si>
    <t>Sprint 3 (Implement)</t>
  </si>
  <si>
    <t>Sprint 4 (Implement)</t>
  </si>
  <si>
    <t>Sprint 5 (Integrate)</t>
  </si>
  <si>
    <t>Sprint 7 (Hardening)</t>
  </si>
  <si>
    <t>Sprint 6 (Test)</t>
  </si>
  <si>
    <t>Sprint 8 (Acceptance)</t>
  </si>
  <si>
    <t>Project Name : Tolksyn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</si>
</sst>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ddd\,\ d/m/yyyy"/>
    <numFmt numFmtId="170" formatCode="dd/mm/yyyy;@"/>
  </numFmts>
  <fonts count="24" x14ac:knownFonts="1">
    <font>
      <sz val="11"/>
      <color theme="1"/>
      <name val="Arial"/>
      <family val="2"/>
      <scheme val="minor"/>
    </font>
    <font>
      <u/>
      <sz val="11"/>
      <color indexed="12"/>
      <name val="Arial"/>
      <family val="2"/>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u/>
      <sz val="11"/>
      <color indexed="12"/>
      <name val="Arial"/>
      <family val="2"/>
      <scheme val="minor"/>
    </font>
    <font>
      <sz val="11"/>
      <color theme="0"/>
      <name val="Times New Roman"/>
      <family val="1"/>
    </font>
    <font>
      <b/>
      <sz val="40"/>
      <color theme="9"/>
      <name val="Times New Roman"/>
      <family val="1"/>
    </font>
    <font>
      <sz val="11"/>
      <color theme="1"/>
      <name val="Times New Roman"/>
      <family val="1"/>
    </font>
    <font>
      <sz val="10"/>
      <name val="Times New Roman"/>
      <family val="1"/>
    </font>
    <font>
      <b/>
      <sz val="16"/>
      <name val="Times New Roman"/>
      <family val="1"/>
    </font>
    <font>
      <sz val="11"/>
      <name val="Times New Roman"/>
      <family val="1"/>
    </font>
    <font>
      <sz val="16"/>
      <color theme="1"/>
      <name val="Times New Roman"/>
      <family val="1"/>
    </font>
    <font>
      <b/>
      <sz val="16"/>
      <color theme="9"/>
      <name val="Times New Roman"/>
      <family val="1"/>
    </font>
    <font>
      <sz val="10"/>
      <color theme="1"/>
      <name val="Times New Roman"/>
      <family val="1"/>
    </font>
    <font>
      <b/>
      <sz val="10"/>
      <color theme="1"/>
      <name val="Times New Roman"/>
      <family val="1"/>
    </font>
    <font>
      <b/>
      <sz val="8"/>
      <name val="Times New Roman"/>
      <family val="1"/>
    </font>
    <font>
      <b/>
      <sz val="8"/>
      <color theme="1"/>
      <name val="Times New Roman"/>
      <family val="1"/>
    </font>
    <font>
      <b/>
      <sz val="12"/>
      <color theme="1"/>
      <name val="Times New Roman"/>
      <family val="1"/>
    </font>
    <font>
      <i/>
      <sz val="10"/>
      <color theme="1"/>
      <name val="Times New Roman"/>
      <family val="1"/>
    </font>
    <font>
      <sz val="10"/>
      <color theme="1" tint="0.499984740745262"/>
      <name val="Times New Roman"/>
      <family val="1"/>
    </font>
    <font>
      <b/>
      <sz val="11"/>
      <color theme="1" tint="0.499984740745262"/>
      <name val="Times New Roman"/>
      <family val="1"/>
    </font>
    <font>
      <sz val="8"/>
      <name val="Arial"/>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ADE98"/>
        <bgColor indexed="64"/>
      </patternFill>
    </fill>
    <fill>
      <patternFill patternType="solid">
        <fgColor theme="0" tint="-0.14999847407452621"/>
        <bgColor indexed="64"/>
      </patternFill>
    </fill>
  </fills>
  <borders count="17">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medium">
        <color theme="0" tint="-0.14996795556505021"/>
      </bottom>
      <diagonal/>
    </border>
  </borders>
  <cellStyleXfs count="13">
    <xf numFmtId="0" fontId="0" fillId="0" borderId="0"/>
    <xf numFmtId="0" fontId="1" fillId="0" borderId="0" applyNumberFormat="0" applyFill="0" applyBorder="0" applyAlignment="0" applyProtection="0">
      <alignment vertical="top"/>
      <protection locked="0"/>
    </xf>
    <xf numFmtId="9" fontId="2" fillId="0" borderId="0" applyFont="0" applyFill="0" applyBorder="0" applyAlignment="0" applyProtection="0"/>
    <xf numFmtId="0" fontId="5" fillId="0" borderId="0"/>
    <xf numFmtId="164" fontId="2" fillId="0" borderId="2" applyFont="0" applyFill="0" applyAlignment="0" applyProtection="0"/>
    <xf numFmtId="0" fontId="4" fillId="0" borderId="0" applyNumberFormat="0" applyFill="0" applyBorder="0" applyAlignment="0" applyProtection="0"/>
    <xf numFmtId="0" fontId="3" fillId="0" borderId="0" applyNumberFormat="0" applyFill="0" applyAlignment="0" applyProtection="0"/>
    <xf numFmtId="0" fontId="3" fillId="0" borderId="0" applyNumberFormat="0" applyFill="0" applyProtection="0">
      <alignment vertical="top"/>
    </xf>
    <xf numFmtId="0" fontId="2" fillId="0" borderId="0" applyNumberFormat="0" applyFill="0" applyProtection="0">
      <alignment horizontal="right" indent="1"/>
    </xf>
    <xf numFmtId="166" fontId="2" fillId="0" borderId="2">
      <alignment horizontal="center" vertical="center"/>
    </xf>
    <xf numFmtId="165" fontId="2" fillId="0" borderId="1" applyFill="0">
      <alignment horizontal="center" vertical="center"/>
    </xf>
    <xf numFmtId="0" fontId="2" fillId="0" borderId="1" applyFill="0">
      <alignment horizontal="center" vertical="center"/>
    </xf>
    <xf numFmtId="0" fontId="2" fillId="0" borderId="1" applyFill="0">
      <alignment horizontal="left" vertical="center" indent="2"/>
    </xf>
  </cellStyleXfs>
  <cellXfs count="69">
    <xf numFmtId="0" fontId="0" fillId="0" borderId="0" xfId="0"/>
    <xf numFmtId="0" fontId="6" fillId="0" borderId="0" xfId="1" applyFont="1" applyAlignment="1" applyProtection="1">
      <alignment horizontal="left" vertical="top" indent="1"/>
    </xf>
    <xf numFmtId="0" fontId="9" fillId="0" borderId="0" xfId="0" applyFont="1"/>
    <xf numFmtId="0" fontId="10" fillId="0" borderId="0" xfId="0" applyFont="1"/>
    <xf numFmtId="0" fontId="13" fillId="0" borderId="0" xfId="0" applyFont="1"/>
    <xf numFmtId="0" fontId="7" fillId="0" borderId="0" xfId="3" applyFont="1"/>
    <xf numFmtId="0" fontId="9" fillId="0" borderId="0" xfId="0" applyFont="1" applyAlignment="1">
      <alignment horizontal="center"/>
    </xf>
    <xf numFmtId="0" fontId="10" fillId="0" borderId="0" xfId="1" applyFont="1" applyAlignment="1" applyProtection="1">
      <alignment horizontal="left" vertical="top" indent="1"/>
    </xf>
    <xf numFmtId="0" fontId="9" fillId="0" borderId="0" xfId="0" applyFont="1" applyAlignment="1">
      <alignment horizontal="left" indent="1"/>
    </xf>
    <xf numFmtId="168" fontId="17" fillId="6" borderId="14" xfId="0" applyNumberFormat="1" applyFont="1" applyFill="1" applyBorder="1" applyAlignment="1">
      <alignment horizontal="center" vertical="center"/>
    </xf>
    <xf numFmtId="168" fontId="17" fillId="6" borderId="12" xfId="0" applyNumberFormat="1" applyFont="1" applyFill="1" applyBorder="1" applyAlignment="1">
      <alignment horizontal="center" vertical="center"/>
    </xf>
    <xf numFmtId="168" fontId="17" fillId="6" borderId="13" xfId="0" applyNumberFormat="1" applyFont="1" applyFill="1" applyBorder="1" applyAlignment="1">
      <alignment horizontal="center" vertical="center"/>
    </xf>
    <xf numFmtId="0" fontId="18" fillId="2" borderId="11" xfId="0" applyFont="1" applyFill="1" applyBorder="1" applyAlignment="1">
      <alignment horizontal="center" vertical="center" shrinkToFit="1"/>
    </xf>
    <xf numFmtId="0" fontId="18" fillId="2" borderId="8" xfId="0" applyFont="1" applyFill="1" applyBorder="1" applyAlignment="1">
      <alignment horizontal="center" vertical="center" shrinkToFit="1"/>
    </xf>
    <xf numFmtId="0" fontId="18" fillId="2" borderId="9"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9" fillId="0" borderId="3" xfId="0" applyFont="1" applyBorder="1" applyAlignment="1">
      <alignment vertical="center"/>
    </xf>
    <xf numFmtId="0" fontId="12" fillId="0" borderId="0" xfId="0" applyFont="1" applyAlignment="1">
      <alignment horizontal="center" vertical="center"/>
    </xf>
    <xf numFmtId="0" fontId="12" fillId="0" borderId="1" xfId="0" applyFont="1" applyBorder="1" applyAlignment="1">
      <alignment horizontal="center" vertical="center"/>
    </xf>
    <xf numFmtId="0" fontId="9" fillId="0" borderId="0" xfId="0" applyFont="1" applyAlignment="1">
      <alignment vertical="center"/>
    </xf>
    <xf numFmtId="0" fontId="9" fillId="0" borderId="4" xfId="0" applyFont="1" applyBorder="1" applyAlignment="1">
      <alignment vertical="center"/>
    </xf>
    <xf numFmtId="0" fontId="19" fillId="3" borderId="0" xfId="0" applyFont="1" applyFill="1" applyAlignment="1">
      <alignment horizontal="left" vertical="center" indent="1"/>
    </xf>
    <xf numFmtId="0" fontId="15" fillId="3" borderId="0" xfId="11" applyFont="1" applyFill="1" applyBorder="1" applyAlignment="1">
      <alignment vertical="center"/>
    </xf>
    <xf numFmtId="9" fontId="10" fillId="3" borderId="0" xfId="2" applyFont="1" applyFill="1" applyBorder="1" applyAlignment="1">
      <alignment horizontal="center" vertical="center"/>
    </xf>
    <xf numFmtId="165" fontId="15" fillId="3" borderId="0" xfId="0" applyNumberFormat="1" applyFont="1" applyFill="1" applyAlignment="1">
      <alignment horizontal="center" vertical="center"/>
    </xf>
    <xf numFmtId="165" fontId="10" fillId="3" borderId="0" xfId="0" applyNumberFormat="1" applyFont="1" applyFill="1" applyAlignment="1">
      <alignment horizontal="center" vertical="center"/>
    </xf>
    <xf numFmtId="0" fontId="9" fillId="0" borderId="6" xfId="0" applyFont="1" applyBorder="1" applyAlignment="1">
      <alignment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0" fillId="4" borderId="5" xfId="2" applyFont="1" applyFill="1" applyBorder="1" applyAlignment="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0" fillId="2" borderId="0" xfId="2" applyFont="1" applyFill="1" applyBorder="1" applyAlignment="1">
      <alignment horizontal="center" vertical="center"/>
    </xf>
    <xf numFmtId="165" fontId="21" fillId="2" borderId="0" xfId="0" applyNumberFormat="1" applyFont="1" applyFill="1" applyAlignment="1">
      <alignment horizontal="left" vertical="center"/>
    </xf>
    <xf numFmtId="165" fontId="10" fillId="2" borderId="0" xfId="0" applyNumberFormat="1" applyFont="1" applyFill="1" applyAlignment="1">
      <alignment horizontal="center" vertical="center"/>
    </xf>
    <xf numFmtId="0" fontId="9" fillId="2" borderId="0" xfId="0" applyFont="1" applyFill="1" applyAlignment="1">
      <alignment vertical="center"/>
    </xf>
    <xf numFmtId="0" fontId="9" fillId="0" borderId="0" xfId="0" applyFont="1" applyAlignment="1">
      <alignment horizontal="right" vertical="center"/>
    </xf>
    <xf numFmtId="0" fontId="22" fillId="0" borderId="0" xfId="0" applyFont="1"/>
    <xf numFmtId="0" fontId="7" fillId="0" borderId="0" xfId="0" applyFont="1" applyAlignment="1">
      <alignment horizontal="center"/>
    </xf>
    <xf numFmtId="0" fontId="21" fillId="0" borderId="0" xfId="1" applyFont="1" applyAlignment="1" applyProtection="1"/>
    <xf numFmtId="0" fontId="11" fillId="0" borderId="0" xfId="8" applyFont="1" applyAlignment="1">
      <alignment horizontal="left"/>
    </xf>
    <xf numFmtId="0" fontId="12" fillId="0" borderId="0" xfId="0" applyFont="1"/>
    <xf numFmtId="0" fontId="14" fillId="0" borderId="0" xfId="0" applyFont="1" applyAlignment="1">
      <alignment vertical="center"/>
    </xf>
    <xf numFmtId="170" fontId="15" fillId="4" borderId="5" xfId="10" applyNumberFormat="1" applyFont="1" applyFill="1" applyBorder="1">
      <alignment horizontal="center" vertical="center"/>
    </xf>
    <xf numFmtId="0" fontId="9" fillId="7" borderId="3" xfId="0" applyFont="1" applyFill="1" applyBorder="1" applyAlignment="1">
      <alignment vertical="center"/>
    </xf>
    <xf numFmtId="0" fontId="7" fillId="0" borderId="0" xfId="3" applyFont="1" applyAlignment="1">
      <alignment wrapText="1"/>
    </xf>
    <xf numFmtId="0" fontId="12" fillId="2" borderId="16" xfId="0" applyFont="1" applyFill="1" applyBorder="1" applyAlignment="1">
      <alignment horizontal="center" vertical="center"/>
    </xf>
    <xf numFmtId="168" fontId="17" fillId="8" borderId="14" xfId="0" applyNumberFormat="1" applyFont="1" applyFill="1" applyBorder="1" applyAlignment="1">
      <alignment horizontal="center" vertical="center"/>
    </xf>
    <xf numFmtId="0" fontId="7" fillId="0" borderId="0" xfId="3" applyFont="1" applyAlignment="1">
      <alignment wrapText="1"/>
    </xf>
    <xf numFmtId="0" fontId="16" fillId="5" borderId="10" xfId="0" applyFont="1" applyFill="1" applyBorder="1" applyAlignment="1">
      <alignment horizontal="left" vertical="center" indent="1"/>
    </xf>
    <xf numFmtId="0" fontId="9" fillId="2" borderId="15" xfId="0" applyFont="1" applyFill="1" applyBorder="1" applyAlignment="1">
      <alignment horizontal="left" indent="1"/>
    </xf>
    <xf numFmtId="0" fontId="16" fillId="5" borderId="10" xfId="0" applyFont="1" applyFill="1" applyBorder="1" applyAlignment="1">
      <alignment vertical="center"/>
    </xf>
    <xf numFmtId="0" fontId="16" fillId="5" borderId="15" xfId="0" applyFont="1" applyFill="1" applyBorder="1" applyAlignment="1">
      <alignment vertical="center"/>
    </xf>
    <xf numFmtId="0" fontId="16" fillId="5" borderId="10" xfId="0" applyFont="1" applyFill="1" applyBorder="1" applyAlignment="1">
      <alignment horizontal="center" vertical="center"/>
    </xf>
    <xf numFmtId="0" fontId="9" fillId="2" borderId="15" xfId="0" applyFont="1" applyFill="1" applyBorder="1"/>
    <xf numFmtId="169" fontId="14" fillId="0" borderId="0" xfId="9" applyNumberFormat="1" applyFont="1" applyBorder="1" applyAlignment="1">
      <alignment horizontal="left"/>
    </xf>
    <xf numFmtId="169" fontId="9" fillId="0" borderId="0" xfId="0" applyNumberFormat="1" applyFont="1"/>
    <xf numFmtId="0" fontId="11" fillId="0" borderId="0" xfId="8" applyFont="1" applyAlignment="1">
      <alignment horizontal="left" vertical="center"/>
    </xf>
    <xf numFmtId="0" fontId="12" fillId="0" borderId="0" xfId="0" applyFont="1" applyAlignment="1">
      <alignment vertical="center"/>
    </xf>
    <xf numFmtId="0" fontId="8" fillId="0" borderId="0" xfId="5" applyFont="1" applyAlignment="1">
      <alignment horizontal="center"/>
    </xf>
    <xf numFmtId="0" fontId="11" fillId="0" borderId="0" xfId="0" applyFont="1" applyAlignment="1">
      <alignment horizontal="center"/>
    </xf>
    <xf numFmtId="0" fontId="14" fillId="0" borderId="0" xfId="6" applyFont="1" applyAlignment="1">
      <alignment horizontal="center" vertical="center"/>
    </xf>
    <xf numFmtId="166" fontId="14" fillId="0" borderId="0" xfId="9" applyFont="1" applyBorder="1" applyAlignment="1">
      <alignment horizontal="left"/>
    </xf>
    <xf numFmtId="0" fontId="9" fillId="0" borderId="0" xfId="0" applyFont="1"/>
    <xf numFmtId="167" fontId="15" fillId="2" borderId="12" xfId="0" applyNumberFormat="1" applyFont="1" applyFill="1" applyBorder="1" applyAlignment="1">
      <alignment horizontal="center" vertical="center" wrapText="1"/>
    </xf>
    <xf numFmtId="167" fontId="15" fillId="2" borderId="7" xfId="0" applyNumberFormat="1" applyFont="1" applyFill="1" applyBorder="1" applyAlignment="1">
      <alignment horizontal="center" vertical="center" wrapText="1"/>
    </xf>
    <xf numFmtId="0" fontId="9" fillId="0" borderId="0" xfId="0" applyFont="1" applyAlignment="1">
      <alignment horizontal="center"/>
    </xf>
    <xf numFmtId="167" fontId="15" fillId="2" borderId="13"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Invisible" pivot="0" table="0" count="0" xr9:uid="{9F7DAD92-3CF2-435B-B624-0C3042485240}"/>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ADE98"/>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hel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W42"/>
  <sheetViews>
    <sheetView showGridLines="0" tabSelected="1" showRuler="0" zoomScale="55" zoomScaleNormal="55" zoomScalePageLayoutView="70" workbookViewId="0">
      <selection activeCell="F24" sqref="F24"/>
    </sheetView>
  </sheetViews>
  <sheetFormatPr defaultColWidth="8.69921875" defaultRowHeight="30" customHeight="1" x14ac:dyDescent="0.25"/>
  <cols>
    <col min="1" max="1" width="2.69921875" style="5" customWidth="1"/>
    <col min="2" max="2" width="22.69921875" style="2" customWidth="1"/>
    <col min="3" max="3" width="21.69921875" style="2" customWidth="1"/>
    <col min="4" max="4" width="12.59765625" style="2" bestFit="1" customWidth="1"/>
    <col min="5" max="5" width="10.69921875" style="6" customWidth="1"/>
    <col min="6" max="6" width="10.69921875" style="2" customWidth="1"/>
    <col min="7" max="7" width="2.69921875" style="2" customWidth="1"/>
    <col min="8" max="8" width="6" style="2" hidden="1" customWidth="1"/>
    <col min="9" max="127" width="2.69921875" style="2" customWidth="1"/>
    <col min="128" max="16384" width="8.69921875" style="2"/>
  </cols>
  <sheetData>
    <row r="1" spans="1:127" ht="47.4" customHeight="1" x14ac:dyDescent="0.85">
      <c r="A1" s="46"/>
      <c r="B1" s="60" t="e" vm="1">
        <v>#VALUE!</v>
      </c>
      <c r="C1" s="60"/>
      <c r="D1" s="60"/>
      <c r="E1" s="60"/>
      <c r="F1" s="60"/>
      <c r="H1" s="3"/>
      <c r="I1" s="41" t="s">
        <v>0</v>
      </c>
      <c r="J1" s="42"/>
      <c r="K1" s="42"/>
      <c r="L1" s="42"/>
      <c r="M1" s="42"/>
      <c r="N1" s="42"/>
      <c r="O1" s="42"/>
      <c r="P1" s="4"/>
      <c r="Q1" s="56">
        <v>46056</v>
      </c>
      <c r="R1" s="57"/>
      <c r="S1" s="57"/>
      <c r="T1" s="57"/>
      <c r="U1" s="57"/>
      <c r="V1" s="57"/>
      <c r="W1" s="57"/>
      <c r="X1" s="57"/>
      <c r="Y1" s="57"/>
      <c r="Z1" s="57"/>
    </row>
    <row r="2" spans="1:127" ht="30" customHeight="1" x14ac:dyDescent="0.4">
      <c r="B2" s="62" t="s">
        <v>1</v>
      </c>
      <c r="C2" s="62"/>
      <c r="D2" s="62"/>
      <c r="E2" s="62"/>
      <c r="F2" s="62"/>
      <c r="I2" s="41" t="s">
        <v>2</v>
      </c>
      <c r="J2" s="42"/>
      <c r="K2" s="42"/>
      <c r="L2" s="42"/>
      <c r="M2" s="42"/>
      <c r="N2" s="42"/>
      <c r="O2" s="42"/>
      <c r="P2" s="4"/>
      <c r="Q2" s="63">
        <v>46180</v>
      </c>
      <c r="R2" s="64"/>
      <c r="S2" s="64"/>
      <c r="T2" s="64"/>
      <c r="U2" s="64"/>
      <c r="V2" s="64"/>
      <c r="W2" s="64"/>
      <c r="X2" s="64"/>
      <c r="Y2" s="64"/>
      <c r="Z2" s="64"/>
      <c r="AR2" s="67"/>
      <c r="AS2" s="67"/>
      <c r="AT2" s="67"/>
      <c r="AU2" s="67"/>
      <c r="AV2" s="67"/>
      <c r="AW2" s="67"/>
      <c r="AX2" s="67"/>
      <c r="AY2" s="67"/>
      <c r="AZ2" s="67"/>
      <c r="BA2" s="67"/>
      <c r="DN2" s="67"/>
      <c r="DO2" s="67"/>
      <c r="DP2" s="67"/>
      <c r="DQ2" s="67"/>
      <c r="DR2" s="67"/>
      <c r="DS2" s="67"/>
      <c r="DT2" s="67"/>
      <c r="DU2" s="67"/>
      <c r="DV2" s="67"/>
    </row>
    <row r="3" spans="1:127" ht="44.4" customHeight="1" x14ac:dyDescent="0.35">
      <c r="B3" s="61" t="s">
        <v>21</v>
      </c>
      <c r="C3" s="61"/>
      <c r="D3" s="61"/>
      <c r="E3" s="61"/>
      <c r="F3" s="61"/>
      <c r="I3" s="58" t="s">
        <v>3</v>
      </c>
      <c r="J3" s="59"/>
      <c r="K3" s="59"/>
      <c r="L3" s="59"/>
      <c r="M3" s="59"/>
      <c r="N3" s="59"/>
      <c r="O3" s="59"/>
      <c r="Q3" s="43">
        <v>1</v>
      </c>
      <c r="S3" s="20" t="s">
        <v>4</v>
      </c>
    </row>
    <row r="4" spans="1:127" ht="30" customHeight="1" x14ac:dyDescent="0.25">
      <c r="A4" s="46"/>
      <c r="B4" s="7"/>
      <c r="E4" s="8"/>
      <c r="I4" s="65">
        <f>I5</f>
        <v>46055</v>
      </c>
      <c r="J4" s="66"/>
      <c r="K4" s="66"/>
      <c r="L4" s="66"/>
      <c r="M4" s="66"/>
      <c r="N4" s="66"/>
      <c r="O4" s="66"/>
      <c r="P4" s="66">
        <f>P5</f>
        <v>46062</v>
      </c>
      <c r="Q4" s="66"/>
      <c r="R4" s="66"/>
      <c r="S4" s="66"/>
      <c r="T4" s="66"/>
      <c r="U4" s="66"/>
      <c r="V4" s="66"/>
      <c r="W4" s="66">
        <f>W5</f>
        <v>46069</v>
      </c>
      <c r="X4" s="66"/>
      <c r="Y4" s="66"/>
      <c r="Z4" s="66"/>
      <c r="AA4" s="66"/>
      <c r="AB4" s="66"/>
      <c r="AC4" s="66"/>
      <c r="AD4" s="66">
        <f>AD5</f>
        <v>46076</v>
      </c>
      <c r="AE4" s="66"/>
      <c r="AF4" s="66"/>
      <c r="AG4" s="66"/>
      <c r="AH4" s="66"/>
      <c r="AI4" s="66"/>
      <c r="AJ4" s="66"/>
      <c r="AK4" s="66">
        <f>AK5</f>
        <v>46083</v>
      </c>
      <c r="AL4" s="66"/>
      <c r="AM4" s="66"/>
      <c r="AN4" s="66"/>
      <c r="AO4" s="66"/>
      <c r="AP4" s="66"/>
      <c r="AQ4" s="66"/>
      <c r="AR4" s="66">
        <f>AR5</f>
        <v>46090</v>
      </c>
      <c r="AS4" s="66"/>
      <c r="AT4" s="66"/>
      <c r="AU4" s="66"/>
      <c r="AV4" s="66"/>
      <c r="AW4" s="66"/>
      <c r="AX4" s="66"/>
      <c r="AY4" s="66">
        <f>AY5</f>
        <v>46097</v>
      </c>
      <c r="AZ4" s="66"/>
      <c r="BA4" s="66"/>
      <c r="BB4" s="66"/>
      <c r="BC4" s="66"/>
      <c r="BD4" s="66"/>
      <c r="BE4" s="66"/>
      <c r="BF4" s="66">
        <f>BF5</f>
        <v>46104</v>
      </c>
      <c r="BG4" s="66"/>
      <c r="BH4" s="66"/>
      <c r="BI4" s="66"/>
      <c r="BJ4" s="66"/>
      <c r="BK4" s="66"/>
      <c r="BL4" s="68"/>
      <c r="BM4" s="66">
        <f>BM5</f>
        <v>46111</v>
      </c>
      <c r="BN4" s="66"/>
      <c r="BO4" s="66"/>
      <c r="BP4" s="66"/>
      <c r="BQ4" s="66"/>
      <c r="BR4" s="66"/>
      <c r="BS4" s="68"/>
      <c r="BT4" s="66">
        <f>BT5</f>
        <v>46118</v>
      </c>
      <c r="BU4" s="66"/>
      <c r="BV4" s="66"/>
      <c r="BW4" s="66"/>
      <c r="BX4" s="66"/>
      <c r="BY4" s="66"/>
      <c r="BZ4" s="68"/>
      <c r="CA4" s="66">
        <f>CA5</f>
        <v>46125</v>
      </c>
      <c r="CB4" s="66"/>
      <c r="CC4" s="66"/>
      <c r="CD4" s="66"/>
      <c r="CE4" s="66"/>
      <c r="CF4" s="66"/>
      <c r="CG4" s="68"/>
      <c r="CH4" s="66">
        <f t="shared" ref="CH4" si="0">CH5</f>
        <v>46132</v>
      </c>
      <c r="CI4" s="66"/>
      <c r="CJ4" s="66"/>
      <c r="CK4" s="66"/>
      <c r="CL4" s="66"/>
      <c r="CM4" s="66"/>
      <c r="CN4" s="68"/>
      <c r="CO4" s="66">
        <f t="shared" ref="CO4" si="1">CO5</f>
        <v>46139</v>
      </c>
      <c r="CP4" s="66"/>
      <c r="CQ4" s="66"/>
      <c r="CR4" s="66"/>
      <c r="CS4" s="66"/>
      <c r="CT4" s="66"/>
      <c r="CU4" s="68"/>
      <c r="CV4" s="66">
        <f t="shared" ref="CV4" si="2">CV5</f>
        <v>46146</v>
      </c>
      <c r="CW4" s="66"/>
      <c r="CX4" s="66"/>
      <c r="CY4" s="66"/>
      <c r="CZ4" s="66"/>
      <c r="DA4" s="66"/>
      <c r="DB4" s="68"/>
      <c r="DC4" s="66">
        <f t="shared" ref="DC4" si="3">DC5</f>
        <v>46153</v>
      </c>
      <c r="DD4" s="66"/>
      <c r="DE4" s="66"/>
      <c r="DF4" s="66"/>
      <c r="DG4" s="66"/>
      <c r="DH4" s="66"/>
      <c r="DI4" s="68"/>
      <c r="DJ4" s="66">
        <f t="shared" ref="DJ4" si="4">DJ5</f>
        <v>46160</v>
      </c>
      <c r="DK4" s="66"/>
      <c r="DL4" s="66"/>
      <c r="DM4" s="66"/>
      <c r="DN4" s="66"/>
      <c r="DO4" s="66"/>
      <c r="DP4" s="68"/>
      <c r="DQ4" s="66">
        <f t="shared" ref="DQ4" si="5">DQ5</f>
        <v>46167</v>
      </c>
      <c r="DR4" s="66"/>
      <c r="DS4" s="66"/>
      <c r="DT4" s="66"/>
      <c r="DU4" s="66"/>
      <c r="DV4" s="66"/>
      <c r="DW4" s="68"/>
    </row>
    <row r="5" spans="1:127" ht="15" customHeight="1" x14ac:dyDescent="0.25">
      <c r="A5" s="49"/>
      <c r="B5" s="50" t="s">
        <v>5</v>
      </c>
      <c r="C5" s="52"/>
      <c r="D5" s="54" t="s">
        <v>6</v>
      </c>
      <c r="E5" s="54" t="s">
        <v>7</v>
      </c>
      <c r="F5" s="54" t="s">
        <v>8</v>
      </c>
      <c r="I5" s="9">
        <f>Project_Start-WEEKDAY(Project_Start,1)+2+7*(Display_Week-1)</f>
        <v>46055</v>
      </c>
      <c r="J5" s="9">
        <f>I5+1</f>
        <v>46056</v>
      </c>
      <c r="K5" s="9">
        <f t="shared" ref="K5:AX5" si="6">J5+1</f>
        <v>46057</v>
      </c>
      <c r="L5" s="9">
        <f t="shared" si="6"/>
        <v>46058</v>
      </c>
      <c r="M5" s="9">
        <f t="shared" si="6"/>
        <v>46059</v>
      </c>
      <c r="N5" s="9">
        <f t="shared" si="6"/>
        <v>46060</v>
      </c>
      <c r="O5" s="10">
        <f t="shared" si="6"/>
        <v>46061</v>
      </c>
      <c r="P5" s="11">
        <f>O5+1</f>
        <v>46062</v>
      </c>
      <c r="Q5" s="9">
        <f>P5+1</f>
        <v>46063</v>
      </c>
      <c r="R5" s="9">
        <f t="shared" si="6"/>
        <v>46064</v>
      </c>
      <c r="S5" s="9">
        <f t="shared" si="6"/>
        <v>46065</v>
      </c>
      <c r="T5" s="9">
        <f t="shared" si="6"/>
        <v>46066</v>
      </c>
      <c r="U5" s="9">
        <f t="shared" si="6"/>
        <v>46067</v>
      </c>
      <c r="V5" s="10">
        <f t="shared" si="6"/>
        <v>46068</v>
      </c>
      <c r="W5" s="11">
        <f>V5+1</f>
        <v>46069</v>
      </c>
      <c r="X5" s="9">
        <f>W5+1</f>
        <v>46070</v>
      </c>
      <c r="Y5" s="9">
        <f t="shared" si="6"/>
        <v>46071</v>
      </c>
      <c r="Z5" s="9">
        <f t="shared" si="6"/>
        <v>46072</v>
      </c>
      <c r="AA5" s="9">
        <f t="shared" si="6"/>
        <v>46073</v>
      </c>
      <c r="AB5" s="9">
        <f t="shared" si="6"/>
        <v>46074</v>
      </c>
      <c r="AC5" s="10">
        <f t="shared" si="6"/>
        <v>46075</v>
      </c>
      <c r="AD5" s="11">
        <f>AC5+1</f>
        <v>46076</v>
      </c>
      <c r="AE5" s="9">
        <f>AD5+1</f>
        <v>46077</v>
      </c>
      <c r="AF5" s="9">
        <f t="shared" si="6"/>
        <v>46078</v>
      </c>
      <c r="AG5" s="9">
        <f t="shared" si="6"/>
        <v>46079</v>
      </c>
      <c r="AH5" s="9">
        <f t="shared" si="6"/>
        <v>46080</v>
      </c>
      <c r="AI5" s="9">
        <f t="shared" si="6"/>
        <v>46081</v>
      </c>
      <c r="AJ5" s="10">
        <f t="shared" si="6"/>
        <v>46082</v>
      </c>
      <c r="AK5" s="11">
        <f>AJ5+1</f>
        <v>46083</v>
      </c>
      <c r="AL5" s="9">
        <f>AK5+1</f>
        <v>46084</v>
      </c>
      <c r="AM5" s="9">
        <f t="shared" si="6"/>
        <v>46085</v>
      </c>
      <c r="AN5" s="9">
        <f t="shared" si="6"/>
        <v>46086</v>
      </c>
      <c r="AO5" s="9">
        <f t="shared" si="6"/>
        <v>46087</v>
      </c>
      <c r="AP5" s="9">
        <f t="shared" si="6"/>
        <v>46088</v>
      </c>
      <c r="AQ5" s="10">
        <f t="shared" si="6"/>
        <v>46089</v>
      </c>
      <c r="AR5" s="11">
        <f>AQ5+1</f>
        <v>46090</v>
      </c>
      <c r="AS5" s="9">
        <f>AR5+1</f>
        <v>46091</v>
      </c>
      <c r="AT5" s="9">
        <f t="shared" si="6"/>
        <v>46092</v>
      </c>
      <c r="AU5" s="9">
        <f t="shared" si="6"/>
        <v>46093</v>
      </c>
      <c r="AV5" s="48">
        <f t="shared" si="6"/>
        <v>46094</v>
      </c>
      <c r="AW5" s="9">
        <f t="shared" si="6"/>
        <v>46095</v>
      </c>
      <c r="AX5" s="10">
        <f t="shared" si="6"/>
        <v>46096</v>
      </c>
      <c r="AY5" s="11">
        <f>AX5+1</f>
        <v>46097</v>
      </c>
      <c r="AZ5" s="9">
        <f>AY5+1</f>
        <v>46098</v>
      </c>
      <c r="BA5" s="9">
        <f t="shared" ref="BA5:BE5" si="7">AZ5+1</f>
        <v>46099</v>
      </c>
      <c r="BB5" s="9">
        <f t="shared" si="7"/>
        <v>46100</v>
      </c>
      <c r="BC5" s="9">
        <f t="shared" si="7"/>
        <v>46101</v>
      </c>
      <c r="BD5" s="9">
        <f t="shared" si="7"/>
        <v>46102</v>
      </c>
      <c r="BE5" s="10">
        <f t="shared" si="7"/>
        <v>46103</v>
      </c>
      <c r="BF5" s="11">
        <f>BE5+1</f>
        <v>46104</v>
      </c>
      <c r="BG5" s="9">
        <f>BF5+1</f>
        <v>46105</v>
      </c>
      <c r="BH5" s="9">
        <f t="shared" ref="BH5:BL5" si="8">BG5+1</f>
        <v>46106</v>
      </c>
      <c r="BI5" s="9">
        <f t="shared" si="8"/>
        <v>46107</v>
      </c>
      <c r="BJ5" s="9">
        <f t="shared" si="8"/>
        <v>46108</v>
      </c>
      <c r="BK5" s="9">
        <f t="shared" si="8"/>
        <v>46109</v>
      </c>
      <c r="BL5" s="9">
        <f t="shared" si="8"/>
        <v>46110</v>
      </c>
      <c r="BM5" s="11">
        <f>BL5+1</f>
        <v>46111</v>
      </c>
      <c r="BN5" s="9">
        <f>BM5+1</f>
        <v>46112</v>
      </c>
      <c r="BO5" s="9">
        <f t="shared" ref="BO5" si="9">BN5+1</f>
        <v>46113</v>
      </c>
      <c r="BP5" s="9">
        <f t="shared" ref="BP5" si="10">BO5+1</f>
        <v>46114</v>
      </c>
      <c r="BQ5" s="9">
        <f t="shared" ref="BQ5" si="11">BP5+1</f>
        <v>46115</v>
      </c>
      <c r="BR5" s="9">
        <f t="shared" ref="BR5" si="12">BQ5+1</f>
        <v>46116</v>
      </c>
      <c r="BS5" s="9">
        <f t="shared" ref="BS5" si="13">BR5+1</f>
        <v>46117</v>
      </c>
      <c r="BT5" s="11">
        <f>BS5+1</f>
        <v>46118</v>
      </c>
      <c r="BU5" s="9">
        <f>BT5+1</f>
        <v>46119</v>
      </c>
      <c r="BV5" s="9">
        <f t="shared" ref="BV5" si="14">BU5+1</f>
        <v>46120</v>
      </c>
      <c r="BW5" s="9">
        <f t="shared" ref="BW5" si="15">BV5+1</f>
        <v>46121</v>
      </c>
      <c r="BX5" s="9">
        <f t="shared" ref="BX5" si="16">BW5+1</f>
        <v>46122</v>
      </c>
      <c r="BY5" s="9">
        <f t="shared" ref="BY5" si="17">BX5+1</f>
        <v>46123</v>
      </c>
      <c r="BZ5" s="9">
        <f t="shared" ref="BZ5" si="18">BY5+1</f>
        <v>46124</v>
      </c>
      <c r="CA5" s="11">
        <f>BZ5+1</f>
        <v>46125</v>
      </c>
      <c r="CB5" s="9">
        <f>CA5+1</f>
        <v>46126</v>
      </c>
      <c r="CC5" s="9">
        <f t="shared" ref="CC5" si="19">CB5+1</f>
        <v>46127</v>
      </c>
      <c r="CD5" s="9">
        <f t="shared" ref="CD5" si="20">CC5+1</f>
        <v>46128</v>
      </c>
      <c r="CE5" s="9">
        <f t="shared" ref="CE5" si="21">CD5+1</f>
        <v>46129</v>
      </c>
      <c r="CF5" s="9">
        <f t="shared" ref="CF5" si="22">CE5+1</f>
        <v>46130</v>
      </c>
      <c r="CG5" s="9">
        <f t="shared" ref="CG5:CI5" si="23">CF5+1</f>
        <v>46131</v>
      </c>
      <c r="CH5" s="11">
        <f t="shared" si="23"/>
        <v>46132</v>
      </c>
      <c r="CI5" s="9">
        <f t="shared" si="23"/>
        <v>46133</v>
      </c>
      <c r="CJ5" s="9">
        <f t="shared" ref="CJ5" si="24">CI5+1</f>
        <v>46134</v>
      </c>
      <c r="CK5" s="9">
        <f t="shared" ref="CK5" si="25">CJ5+1</f>
        <v>46135</v>
      </c>
      <c r="CL5" s="9">
        <f t="shared" ref="CL5" si="26">CK5+1</f>
        <v>46136</v>
      </c>
      <c r="CM5" s="9">
        <f t="shared" ref="CM5" si="27">CL5+1</f>
        <v>46137</v>
      </c>
      <c r="CN5" s="9">
        <f t="shared" ref="CN5:CP5" si="28">CM5+1</f>
        <v>46138</v>
      </c>
      <c r="CO5" s="11">
        <f t="shared" si="28"/>
        <v>46139</v>
      </c>
      <c r="CP5" s="9">
        <f t="shared" si="28"/>
        <v>46140</v>
      </c>
      <c r="CQ5" s="9">
        <f t="shared" ref="CQ5" si="29">CP5+1</f>
        <v>46141</v>
      </c>
      <c r="CR5" s="9">
        <f t="shared" ref="CR5" si="30">CQ5+1</f>
        <v>46142</v>
      </c>
      <c r="CS5" s="9">
        <f t="shared" ref="CS5" si="31">CR5+1</f>
        <v>46143</v>
      </c>
      <c r="CT5" s="9">
        <f t="shared" ref="CT5" si="32">CS5+1</f>
        <v>46144</v>
      </c>
      <c r="CU5" s="9">
        <f t="shared" ref="CU5" si="33">CT5+1</f>
        <v>46145</v>
      </c>
      <c r="CV5" s="11">
        <f t="shared" ref="CV5" si="34">CU5+1</f>
        <v>46146</v>
      </c>
      <c r="CW5" s="9">
        <f t="shared" ref="CW5" si="35">CV5+1</f>
        <v>46147</v>
      </c>
      <c r="CX5" s="9">
        <f t="shared" ref="CX5" si="36">CW5+1</f>
        <v>46148</v>
      </c>
      <c r="CY5" s="9">
        <f t="shared" ref="CY5" si="37">CX5+1</f>
        <v>46149</v>
      </c>
      <c r="CZ5" s="9">
        <f t="shared" ref="CZ5" si="38">CY5+1</f>
        <v>46150</v>
      </c>
      <c r="DA5" s="9">
        <f t="shared" ref="DA5" si="39">CZ5+1</f>
        <v>46151</v>
      </c>
      <c r="DB5" s="9">
        <f t="shared" ref="DB5" si="40">DA5+1</f>
        <v>46152</v>
      </c>
      <c r="DC5" s="11">
        <f t="shared" ref="DC5" si="41">DB5+1</f>
        <v>46153</v>
      </c>
      <c r="DD5" s="9">
        <f t="shared" ref="DD5" si="42">DC5+1</f>
        <v>46154</v>
      </c>
      <c r="DE5" s="9">
        <f t="shared" ref="DE5" si="43">DD5+1</f>
        <v>46155</v>
      </c>
      <c r="DF5" s="9">
        <f t="shared" ref="DF5" si="44">DE5+1</f>
        <v>46156</v>
      </c>
      <c r="DG5" s="9">
        <f t="shared" ref="DG5" si="45">DF5+1</f>
        <v>46157</v>
      </c>
      <c r="DH5" s="9">
        <f t="shared" ref="DH5" si="46">DG5+1</f>
        <v>46158</v>
      </c>
      <c r="DI5" s="9">
        <f t="shared" ref="DI5" si="47">DH5+1</f>
        <v>46159</v>
      </c>
      <c r="DJ5" s="11">
        <f t="shared" ref="DJ5" si="48">DI5+1</f>
        <v>46160</v>
      </c>
      <c r="DK5" s="9">
        <f t="shared" ref="DK5" si="49">DJ5+1</f>
        <v>46161</v>
      </c>
      <c r="DL5" s="9">
        <f t="shared" ref="DL5" si="50">DK5+1</f>
        <v>46162</v>
      </c>
      <c r="DM5" s="9">
        <f t="shared" ref="DM5" si="51">DL5+1</f>
        <v>46163</v>
      </c>
      <c r="DN5" s="9">
        <f t="shared" ref="DN5" si="52">DM5+1</f>
        <v>46164</v>
      </c>
      <c r="DO5" s="9">
        <f t="shared" ref="DO5" si="53">DN5+1</f>
        <v>46165</v>
      </c>
      <c r="DP5" s="9">
        <f t="shared" ref="DP5" si="54">DO5+1</f>
        <v>46166</v>
      </c>
      <c r="DQ5" s="11">
        <f t="shared" ref="DQ5" si="55">DP5+1</f>
        <v>46167</v>
      </c>
      <c r="DR5" s="48">
        <f t="shared" ref="DR5" si="56">DQ5+1</f>
        <v>46168</v>
      </c>
      <c r="DS5" s="9">
        <f t="shared" ref="DS5" si="57">DR5+1</f>
        <v>46169</v>
      </c>
      <c r="DT5" s="9">
        <f t="shared" ref="DT5" si="58">DS5+1</f>
        <v>46170</v>
      </c>
      <c r="DU5" s="9">
        <f t="shared" ref="DU5" si="59">DT5+1</f>
        <v>46171</v>
      </c>
      <c r="DV5" s="9">
        <f t="shared" ref="DV5" si="60">DU5+1</f>
        <v>46172</v>
      </c>
      <c r="DW5" s="9">
        <f t="shared" ref="DW5" si="61">DV5+1</f>
        <v>46173</v>
      </c>
    </row>
    <row r="6" spans="1:127" ht="15" customHeight="1" thickBot="1" x14ac:dyDescent="0.3">
      <c r="A6" s="49"/>
      <c r="B6" s="51"/>
      <c r="C6" s="53"/>
      <c r="D6" s="55"/>
      <c r="E6" s="55"/>
      <c r="F6" s="55"/>
      <c r="I6" s="12" t="str">
        <f t="shared" ref="I6:AN6" si="62">LEFT(TEXT(I5,"ddd"),1)</f>
        <v>M</v>
      </c>
      <c r="J6" s="13" t="str">
        <f t="shared" si="62"/>
        <v>T</v>
      </c>
      <c r="K6" s="13" t="str">
        <f t="shared" si="62"/>
        <v>W</v>
      </c>
      <c r="L6" s="13" t="str">
        <f t="shared" si="62"/>
        <v>T</v>
      </c>
      <c r="M6" s="13" t="str">
        <f t="shared" si="62"/>
        <v>F</v>
      </c>
      <c r="N6" s="13" t="str">
        <f t="shared" si="62"/>
        <v>S</v>
      </c>
      <c r="O6" s="13" t="str">
        <f t="shared" si="62"/>
        <v>S</v>
      </c>
      <c r="P6" s="13" t="str">
        <f t="shared" si="62"/>
        <v>M</v>
      </c>
      <c r="Q6" s="13" t="str">
        <f t="shared" si="62"/>
        <v>T</v>
      </c>
      <c r="R6" s="13" t="str">
        <f t="shared" si="62"/>
        <v>W</v>
      </c>
      <c r="S6" s="13" t="str">
        <f t="shared" si="62"/>
        <v>T</v>
      </c>
      <c r="T6" s="13" t="str">
        <f t="shared" si="62"/>
        <v>F</v>
      </c>
      <c r="U6" s="13" t="str">
        <f t="shared" si="62"/>
        <v>S</v>
      </c>
      <c r="V6" s="13" t="str">
        <f t="shared" si="62"/>
        <v>S</v>
      </c>
      <c r="W6" s="13" t="str">
        <f t="shared" si="62"/>
        <v>M</v>
      </c>
      <c r="X6" s="13" t="str">
        <f t="shared" si="62"/>
        <v>T</v>
      </c>
      <c r="Y6" s="13" t="str">
        <f t="shared" si="62"/>
        <v>W</v>
      </c>
      <c r="Z6" s="13" t="str">
        <f t="shared" si="62"/>
        <v>T</v>
      </c>
      <c r="AA6" s="13" t="str">
        <f t="shared" si="62"/>
        <v>F</v>
      </c>
      <c r="AB6" s="13" t="str">
        <f t="shared" si="62"/>
        <v>S</v>
      </c>
      <c r="AC6" s="13" t="str">
        <f t="shared" si="62"/>
        <v>S</v>
      </c>
      <c r="AD6" s="13" t="str">
        <f t="shared" si="62"/>
        <v>M</v>
      </c>
      <c r="AE6" s="13" t="str">
        <f t="shared" si="62"/>
        <v>T</v>
      </c>
      <c r="AF6" s="13" t="str">
        <f t="shared" si="62"/>
        <v>W</v>
      </c>
      <c r="AG6" s="13" t="str">
        <f t="shared" si="62"/>
        <v>T</v>
      </c>
      <c r="AH6" s="13" t="str">
        <f t="shared" si="62"/>
        <v>F</v>
      </c>
      <c r="AI6" s="13" t="str">
        <f t="shared" si="62"/>
        <v>S</v>
      </c>
      <c r="AJ6" s="13" t="str">
        <f t="shared" si="62"/>
        <v>S</v>
      </c>
      <c r="AK6" s="13" t="str">
        <f t="shared" si="62"/>
        <v>M</v>
      </c>
      <c r="AL6" s="13" t="str">
        <f t="shared" si="62"/>
        <v>T</v>
      </c>
      <c r="AM6" s="13" t="str">
        <f t="shared" si="62"/>
        <v>W</v>
      </c>
      <c r="AN6" s="13" t="str">
        <f t="shared" si="62"/>
        <v>T</v>
      </c>
      <c r="AO6" s="13" t="str">
        <f t="shared" ref="AO6:BL6" si="63">LEFT(TEXT(AO5,"ddd"),1)</f>
        <v>F</v>
      </c>
      <c r="AP6" s="13" t="str">
        <f t="shared" si="63"/>
        <v>S</v>
      </c>
      <c r="AQ6" s="13" t="str">
        <f t="shared" si="63"/>
        <v>S</v>
      </c>
      <c r="AR6" s="13" t="str">
        <f t="shared" si="63"/>
        <v>M</v>
      </c>
      <c r="AS6" s="13" t="str">
        <f t="shared" si="63"/>
        <v>T</v>
      </c>
      <c r="AT6" s="13" t="str">
        <f t="shared" si="63"/>
        <v>W</v>
      </c>
      <c r="AU6" s="13" t="str">
        <f t="shared" si="63"/>
        <v>T</v>
      </c>
      <c r="AV6" s="13" t="str">
        <f t="shared" si="63"/>
        <v>F</v>
      </c>
      <c r="AW6" s="13" t="str">
        <f t="shared" si="63"/>
        <v>S</v>
      </c>
      <c r="AX6" s="13" t="str">
        <f t="shared" si="63"/>
        <v>S</v>
      </c>
      <c r="AY6" s="13" t="str">
        <f t="shared" si="63"/>
        <v>M</v>
      </c>
      <c r="AZ6" s="13" t="str">
        <f t="shared" si="63"/>
        <v>T</v>
      </c>
      <c r="BA6" s="13" t="str">
        <f t="shared" si="63"/>
        <v>W</v>
      </c>
      <c r="BB6" s="13" t="str">
        <f t="shared" si="63"/>
        <v>T</v>
      </c>
      <c r="BC6" s="13" t="str">
        <f t="shared" si="63"/>
        <v>F</v>
      </c>
      <c r="BD6" s="13" t="str">
        <f t="shared" si="63"/>
        <v>S</v>
      </c>
      <c r="BE6" s="13" t="str">
        <f t="shared" si="63"/>
        <v>S</v>
      </c>
      <c r="BF6" s="13" t="str">
        <f t="shared" si="63"/>
        <v>M</v>
      </c>
      <c r="BG6" s="13" t="str">
        <f t="shared" si="63"/>
        <v>T</v>
      </c>
      <c r="BH6" s="13" t="str">
        <f t="shared" si="63"/>
        <v>W</v>
      </c>
      <c r="BI6" s="13" t="str">
        <f t="shared" si="63"/>
        <v>T</v>
      </c>
      <c r="BJ6" s="13" t="str">
        <f t="shared" si="63"/>
        <v>F</v>
      </c>
      <c r="BK6" s="13" t="str">
        <f t="shared" si="63"/>
        <v>S</v>
      </c>
      <c r="BL6" s="14" t="str">
        <f t="shared" si="63"/>
        <v>S</v>
      </c>
      <c r="BM6" s="13" t="str">
        <f t="shared" ref="BM6:BZ6" si="64">LEFT(TEXT(BM5,"ddd"),1)</f>
        <v>M</v>
      </c>
      <c r="BN6" s="13" t="str">
        <f t="shared" si="64"/>
        <v>T</v>
      </c>
      <c r="BO6" s="13" t="str">
        <f t="shared" si="64"/>
        <v>W</v>
      </c>
      <c r="BP6" s="13" t="str">
        <f t="shared" si="64"/>
        <v>T</v>
      </c>
      <c r="BQ6" s="13" t="str">
        <f t="shared" si="64"/>
        <v>F</v>
      </c>
      <c r="BR6" s="13" t="str">
        <f t="shared" si="64"/>
        <v>S</v>
      </c>
      <c r="BS6" s="14" t="str">
        <f t="shared" si="64"/>
        <v>S</v>
      </c>
      <c r="BT6" s="13" t="str">
        <f t="shared" si="64"/>
        <v>M</v>
      </c>
      <c r="BU6" s="13" t="str">
        <f t="shared" si="64"/>
        <v>T</v>
      </c>
      <c r="BV6" s="13" t="str">
        <f t="shared" si="64"/>
        <v>W</v>
      </c>
      <c r="BW6" s="13" t="str">
        <f t="shared" si="64"/>
        <v>T</v>
      </c>
      <c r="BX6" s="13" t="str">
        <f t="shared" si="64"/>
        <v>F</v>
      </c>
      <c r="BY6" s="13" t="str">
        <f t="shared" si="64"/>
        <v>S</v>
      </c>
      <c r="BZ6" s="14" t="str">
        <f t="shared" si="64"/>
        <v>S</v>
      </c>
      <c r="CA6" s="13" t="str">
        <f t="shared" ref="CA6:CG6" si="65">LEFT(TEXT(CA5,"ddd"),1)</f>
        <v>M</v>
      </c>
      <c r="CB6" s="13" t="str">
        <f t="shared" si="65"/>
        <v>T</v>
      </c>
      <c r="CC6" s="13" t="str">
        <f t="shared" si="65"/>
        <v>W</v>
      </c>
      <c r="CD6" s="13" t="str">
        <f t="shared" si="65"/>
        <v>T</v>
      </c>
      <c r="CE6" s="13" t="str">
        <f t="shared" si="65"/>
        <v>F</v>
      </c>
      <c r="CF6" s="13" t="str">
        <f t="shared" si="65"/>
        <v>S</v>
      </c>
      <c r="CG6" s="14" t="str">
        <f t="shared" si="65"/>
        <v>S</v>
      </c>
      <c r="CH6" s="13" t="str">
        <f t="shared" ref="CH6:CU6" si="66">LEFT(TEXT(CH5,"ddd"),1)</f>
        <v>M</v>
      </c>
      <c r="CI6" s="13" t="str">
        <f t="shared" si="66"/>
        <v>T</v>
      </c>
      <c r="CJ6" s="13" t="str">
        <f t="shared" si="66"/>
        <v>W</v>
      </c>
      <c r="CK6" s="13" t="str">
        <f t="shared" si="66"/>
        <v>T</v>
      </c>
      <c r="CL6" s="13" t="str">
        <f t="shared" si="66"/>
        <v>F</v>
      </c>
      <c r="CM6" s="13" t="str">
        <f t="shared" si="66"/>
        <v>S</v>
      </c>
      <c r="CN6" s="14" t="str">
        <f t="shared" si="66"/>
        <v>S</v>
      </c>
      <c r="CO6" s="13" t="str">
        <f t="shared" si="66"/>
        <v>M</v>
      </c>
      <c r="CP6" s="13" t="str">
        <f t="shared" si="66"/>
        <v>T</v>
      </c>
      <c r="CQ6" s="13" t="str">
        <f t="shared" si="66"/>
        <v>W</v>
      </c>
      <c r="CR6" s="13" t="str">
        <f t="shared" si="66"/>
        <v>T</v>
      </c>
      <c r="CS6" s="13" t="str">
        <f t="shared" si="66"/>
        <v>F</v>
      </c>
      <c r="CT6" s="13" t="str">
        <f t="shared" si="66"/>
        <v>S</v>
      </c>
      <c r="CU6" s="14" t="str">
        <f t="shared" si="66"/>
        <v>S</v>
      </c>
      <c r="CV6" s="13" t="str">
        <f t="shared" ref="CV6:DB6" si="67">LEFT(TEXT(CV5,"ddd"),1)</f>
        <v>M</v>
      </c>
      <c r="CW6" s="13" t="str">
        <f t="shared" si="67"/>
        <v>T</v>
      </c>
      <c r="CX6" s="13" t="str">
        <f t="shared" si="67"/>
        <v>W</v>
      </c>
      <c r="CY6" s="13" t="str">
        <f t="shared" si="67"/>
        <v>T</v>
      </c>
      <c r="CZ6" s="13" t="str">
        <f t="shared" si="67"/>
        <v>F</v>
      </c>
      <c r="DA6" s="13" t="str">
        <f t="shared" si="67"/>
        <v>S</v>
      </c>
      <c r="DB6" s="14" t="str">
        <f t="shared" si="67"/>
        <v>S</v>
      </c>
      <c r="DC6" s="13" t="str">
        <f t="shared" ref="DC6:DP6" si="68">LEFT(TEXT(DC5,"ddd"),1)</f>
        <v>M</v>
      </c>
      <c r="DD6" s="13" t="str">
        <f t="shared" si="68"/>
        <v>T</v>
      </c>
      <c r="DE6" s="13" t="str">
        <f t="shared" si="68"/>
        <v>W</v>
      </c>
      <c r="DF6" s="13" t="str">
        <f t="shared" si="68"/>
        <v>T</v>
      </c>
      <c r="DG6" s="13" t="str">
        <f t="shared" si="68"/>
        <v>F</v>
      </c>
      <c r="DH6" s="13" t="str">
        <f t="shared" si="68"/>
        <v>S</v>
      </c>
      <c r="DI6" s="14" t="str">
        <f t="shared" si="68"/>
        <v>S</v>
      </c>
      <c r="DJ6" s="13" t="str">
        <f t="shared" si="68"/>
        <v>M</v>
      </c>
      <c r="DK6" s="13" t="str">
        <f t="shared" si="68"/>
        <v>T</v>
      </c>
      <c r="DL6" s="13" t="str">
        <f t="shared" si="68"/>
        <v>W</v>
      </c>
      <c r="DM6" s="13" t="str">
        <f t="shared" si="68"/>
        <v>T</v>
      </c>
      <c r="DN6" s="13" t="str">
        <f t="shared" si="68"/>
        <v>F</v>
      </c>
      <c r="DO6" s="13" t="str">
        <f t="shared" si="68"/>
        <v>S</v>
      </c>
      <c r="DP6" s="14" t="str">
        <f t="shared" si="68"/>
        <v>S</v>
      </c>
      <c r="DQ6" s="13" t="str">
        <f t="shared" ref="DQ6:DW6" si="69">LEFT(TEXT(DQ5,"ddd"),1)</f>
        <v>M</v>
      </c>
      <c r="DR6" s="13" t="str">
        <f t="shared" si="69"/>
        <v>T</v>
      </c>
      <c r="DS6" s="13" t="str">
        <f t="shared" si="69"/>
        <v>W</v>
      </c>
      <c r="DT6" s="13" t="str">
        <f t="shared" si="69"/>
        <v>T</v>
      </c>
      <c r="DU6" s="13" t="str">
        <f t="shared" si="69"/>
        <v>F</v>
      </c>
      <c r="DV6" s="13" t="str">
        <f t="shared" si="69"/>
        <v>S</v>
      </c>
      <c r="DW6" s="14" t="str">
        <f t="shared" si="69"/>
        <v>S</v>
      </c>
    </row>
    <row r="7" spans="1:127" ht="30" hidden="1" customHeight="1" thickBot="1" x14ac:dyDescent="0.3">
      <c r="A7" s="5" t="s">
        <v>9</v>
      </c>
      <c r="B7" s="15"/>
      <c r="C7" s="16"/>
      <c r="D7" s="15"/>
      <c r="E7" s="15"/>
      <c r="F7" s="15"/>
      <c r="H7" s="2" t="str">
        <f>IF(OR(ISBLANK(task_start),ISBLANK(task_end)),"",task_end-task_start+1)</f>
        <v/>
      </c>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45"/>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45"/>
      <c r="DS7" s="17"/>
      <c r="DT7" s="17"/>
      <c r="DU7" s="17"/>
      <c r="DV7" s="17"/>
      <c r="DW7" s="17"/>
    </row>
    <row r="8" spans="1:127" s="20" customFormat="1" ht="30" customHeight="1" thickBot="1" x14ac:dyDescent="0.3">
      <c r="A8" s="46"/>
      <c r="B8" s="22" t="s">
        <v>10</v>
      </c>
      <c r="C8" s="23"/>
      <c r="D8" s="24"/>
      <c r="E8" s="25"/>
      <c r="F8" s="26"/>
      <c r="G8" s="18"/>
      <c r="H8" s="19" t="str">
        <f t="shared" ref="H8:H17" si="70">IF(OR(ISBLANK(task_start),ISBLANK(task_end)),"",task_end-task_start+1)</f>
        <v/>
      </c>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row>
    <row r="9" spans="1:127" s="20" customFormat="1" ht="30" customHeight="1" thickBot="1" x14ac:dyDescent="0.3">
      <c r="A9" s="46"/>
      <c r="B9" s="28" t="s">
        <v>13</v>
      </c>
      <c r="C9" s="29"/>
      <c r="D9" s="30">
        <v>0</v>
      </c>
      <c r="E9" s="44">
        <f>Project_Start</f>
        <v>46056</v>
      </c>
      <c r="F9" s="44">
        <f t="shared" ref="F9:F16" si="71">E9+13</f>
        <v>46069</v>
      </c>
      <c r="G9" s="18"/>
      <c r="H9" s="19">
        <f t="shared" si="70"/>
        <v>14</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row>
    <row r="10" spans="1:127" s="20" customFormat="1" ht="30" customHeight="1" thickBot="1" x14ac:dyDescent="0.3">
      <c r="A10" s="46"/>
      <c r="B10" s="28" t="s">
        <v>14</v>
      </c>
      <c r="C10" s="29"/>
      <c r="D10" s="30">
        <v>0</v>
      </c>
      <c r="E10" s="44">
        <f t="shared" ref="E10:E16" si="72">F9+1</f>
        <v>46070</v>
      </c>
      <c r="F10" s="44">
        <f t="shared" si="71"/>
        <v>46083</v>
      </c>
      <c r="G10" s="18"/>
      <c r="H10" s="19">
        <f t="shared" si="70"/>
        <v>14</v>
      </c>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row>
    <row r="11" spans="1:127" s="20" customFormat="1" ht="30" customHeight="1" thickBot="1" x14ac:dyDescent="0.3">
      <c r="A11" s="5"/>
      <c r="B11" s="28" t="s">
        <v>15</v>
      </c>
      <c r="C11" s="29"/>
      <c r="D11" s="30">
        <v>0</v>
      </c>
      <c r="E11" s="44">
        <f t="shared" si="72"/>
        <v>46084</v>
      </c>
      <c r="F11" s="44">
        <f t="shared" si="71"/>
        <v>46097</v>
      </c>
      <c r="G11" s="18"/>
      <c r="H11" s="19">
        <f t="shared" si="70"/>
        <v>14</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row>
    <row r="12" spans="1:127" s="20" customFormat="1" ht="30" customHeight="1" thickBot="1" x14ac:dyDescent="0.3">
      <c r="A12" s="5"/>
      <c r="B12" s="28" t="s">
        <v>16</v>
      </c>
      <c r="C12" s="29"/>
      <c r="D12" s="30">
        <v>0</v>
      </c>
      <c r="E12" s="44">
        <f t="shared" si="72"/>
        <v>46098</v>
      </c>
      <c r="F12" s="44">
        <f t="shared" si="71"/>
        <v>46111</v>
      </c>
      <c r="G12" s="18"/>
      <c r="H12" s="19">
        <f t="shared" si="70"/>
        <v>14</v>
      </c>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row>
    <row r="13" spans="1:127" s="20" customFormat="1" ht="30" customHeight="1" thickBot="1" x14ac:dyDescent="0.3">
      <c r="A13" s="5"/>
      <c r="B13" s="28" t="s">
        <v>17</v>
      </c>
      <c r="C13" s="29"/>
      <c r="D13" s="30">
        <v>0</v>
      </c>
      <c r="E13" s="44">
        <f t="shared" si="72"/>
        <v>46112</v>
      </c>
      <c r="F13" s="44">
        <f t="shared" si="71"/>
        <v>46125</v>
      </c>
      <c r="G13" s="18"/>
      <c r="H13" s="19">
        <f t="shared" si="70"/>
        <v>14</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row>
    <row r="14" spans="1:127" s="20" customFormat="1" ht="30" customHeight="1" thickBot="1" x14ac:dyDescent="0.3">
      <c r="A14" s="5"/>
      <c r="B14" s="28" t="s">
        <v>19</v>
      </c>
      <c r="C14" s="29"/>
      <c r="D14" s="30">
        <v>0</v>
      </c>
      <c r="E14" s="44">
        <f t="shared" si="72"/>
        <v>46126</v>
      </c>
      <c r="F14" s="44">
        <f t="shared" si="71"/>
        <v>46139</v>
      </c>
      <c r="G14" s="18"/>
      <c r="H14" s="19">
        <f t="shared" si="70"/>
        <v>14</v>
      </c>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row>
    <row r="15" spans="1:127" s="20" customFormat="1" ht="30" customHeight="1" thickBot="1" x14ac:dyDescent="0.3">
      <c r="A15" s="5"/>
      <c r="B15" s="28" t="s">
        <v>18</v>
      </c>
      <c r="C15" s="29"/>
      <c r="D15" s="30">
        <v>0</v>
      </c>
      <c r="E15" s="44">
        <f t="shared" si="72"/>
        <v>46140</v>
      </c>
      <c r="F15" s="44">
        <f t="shared" si="71"/>
        <v>46153</v>
      </c>
      <c r="G15" s="18"/>
      <c r="H15" s="19">
        <f t="shared" si="70"/>
        <v>14</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row>
    <row r="16" spans="1:127" s="20" customFormat="1" ht="30" customHeight="1" thickBot="1" x14ac:dyDescent="0.3">
      <c r="A16" s="5"/>
      <c r="B16" s="28" t="s">
        <v>20</v>
      </c>
      <c r="C16" s="29"/>
      <c r="D16" s="30">
        <v>0</v>
      </c>
      <c r="E16" s="44">
        <f t="shared" si="72"/>
        <v>46154</v>
      </c>
      <c r="F16" s="44">
        <f t="shared" si="71"/>
        <v>46167</v>
      </c>
      <c r="G16" s="18"/>
      <c r="H16" s="19">
        <f t="shared" si="70"/>
        <v>14</v>
      </c>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row>
    <row r="17" spans="1:127" s="20" customFormat="1" ht="30" customHeight="1" thickBot="1" x14ac:dyDescent="0.3">
      <c r="A17" s="46"/>
      <c r="B17" s="31" t="s">
        <v>11</v>
      </c>
      <c r="C17" s="32"/>
      <c r="D17" s="33"/>
      <c r="E17" s="34"/>
      <c r="F17" s="35"/>
      <c r="G17" s="18"/>
      <c r="H17" s="47" t="str">
        <f t="shared" si="70"/>
        <v/>
      </c>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row>
    <row r="18" spans="1:127" s="20" customFormat="1" ht="30" customHeight="1" x14ac:dyDescent="0.25">
      <c r="A18" s="46"/>
      <c r="B18" s="1" t="s">
        <v>12</v>
      </c>
      <c r="C18" s="2"/>
      <c r="D18" s="2"/>
      <c r="E18" s="6"/>
      <c r="F18" s="2"/>
      <c r="G18" s="37"/>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row>
    <row r="19" spans="1:127" s="20" customFormat="1" ht="30" customHeight="1" x14ac:dyDescent="0.25">
      <c r="A19" s="5"/>
      <c r="B19" s="2"/>
      <c r="C19" s="38"/>
      <c r="D19" s="2"/>
      <c r="E19" s="6"/>
      <c r="F19" s="39"/>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row>
    <row r="20" spans="1:127" s="20" customFormat="1" ht="30" customHeight="1" x14ac:dyDescent="0.25">
      <c r="A20" s="5"/>
      <c r="B20" s="2"/>
      <c r="C20" s="40"/>
      <c r="D20" s="2"/>
      <c r="E20" s="6"/>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row>
    <row r="21" spans="1:127" s="20" customFormat="1" ht="30" customHeight="1" x14ac:dyDescent="0.25">
      <c r="A21" s="5"/>
      <c r="B21" s="2"/>
      <c r="C21" s="2"/>
      <c r="D21" s="2"/>
      <c r="E21" s="6"/>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row>
    <row r="22" spans="1:127" s="20" customFormat="1" ht="30" customHeight="1" x14ac:dyDescent="0.25">
      <c r="A22" s="5"/>
      <c r="B22" s="2"/>
      <c r="C22" s="2"/>
      <c r="D22" s="2"/>
      <c r="E22" s="6"/>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row>
    <row r="23" spans="1:127" s="20" customFormat="1" ht="30" customHeight="1" x14ac:dyDescent="0.25">
      <c r="A23" s="5"/>
      <c r="B23" s="2"/>
      <c r="C23" s="2"/>
      <c r="D23" s="2"/>
      <c r="E23" s="6"/>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row>
    <row r="24" spans="1:127" s="20" customFormat="1" ht="30" customHeight="1" x14ac:dyDescent="0.25">
      <c r="A24" s="5"/>
      <c r="B24" s="2"/>
      <c r="C24" s="2"/>
      <c r="D24" s="2"/>
      <c r="E24" s="6"/>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row>
    <row r="25" spans="1:127" s="20" customFormat="1" ht="30" customHeight="1" x14ac:dyDescent="0.25">
      <c r="A25" s="5"/>
      <c r="B25" s="2"/>
      <c r="C25" s="2"/>
      <c r="D25" s="2"/>
      <c r="E25" s="6"/>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row>
    <row r="26" spans="1:127" s="20" customFormat="1" ht="30" customHeight="1" x14ac:dyDescent="0.25">
      <c r="A26" s="5"/>
      <c r="B26" s="2"/>
      <c r="C26" s="2"/>
      <c r="D26" s="2"/>
      <c r="E26" s="6"/>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row>
    <row r="27" spans="1:127" s="20" customFormat="1" ht="30" customHeight="1" x14ac:dyDescent="0.25">
      <c r="A27" s="5"/>
      <c r="B27" s="2"/>
      <c r="C27" s="2"/>
      <c r="D27" s="2"/>
      <c r="E27" s="6"/>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row>
    <row r="28" spans="1:127" s="20" customFormat="1" ht="30" customHeight="1" x14ac:dyDescent="0.25">
      <c r="A28" s="5"/>
      <c r="B28" s="2"/>
      <c r="C28" s="2"/>
      <c r="D28" s="2"/>
      <c r="E28" s="6"/>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row>
    <row r="29" spans="1:127" s="20" customFormat="1" ht="30" customHeight="1" x14ac:dyDescent="0.25">
      <c r="A29" s="5"/>
      <c r="B29" s="2"/>
      <c r="C29" s="2"/>
      <c r="D29" s="2"/>
      <c r="E29" s="6"/>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row>
    <row r="30" spans="1:127" s="20" customFormat="1" ht="30" customHeight="1" x14ac:dyDescent="0.25">
      <c r="A30" s="5"/>
      <c r="B30" s="2"/>
      <c r="C30" s="2"/>
      <c r="D30" s="2"/>
      <c r="E30" s="6"/>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row>
    <row r="31" spans="1:127" s="20" customFormat="1" ht="30" customHeight="1" x14ac:dyDescent="0.25">
      <c r="A31" s="5"/>
      <c r="B31" s="2"/>
      <c r="C31" s="2"/>
      <c r="D31" s="2"/>
      <c r="E31" s="6"/>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row>
    <row r="32" spans="1:127" s="20" customFormat="1" ht="30" customHeight="1" x14ac:dyDescent="0.25">
      <c r="A32" s="5"/>
      <c r="B32" s="2"/>
      <c r="C32" s="2"/>
      <c r="D32" s="2"/>
      <c r="E32" s="6"/>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row>
    <row r="33" spans="1:127" s="20" customFormat="1" ht="30" customHeight="1" x14ac:dyDescent="0.25">
      <c r="A33" s="5"/>
      <c r="B33" s="2"/>
      <c r="C33" s="2"/>
      <c r="D33" s="2"/>
      <c r="E33" s="6"/>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row>
    <row r="34" spans="1:127" s="20" customFormat="1" ht="30" customHeight="1" x14ac:dyDescent="0.25">
      <c r="A34" s="5"/>
      <c r="B34" s="2"/>
      <c r="C34" s="2"/>
      <c r="D34" s="2"/>
      <c r="E34" s="6"/>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row>
    <row r="35" spans="1:127" s="20" customFormat="1" ht="30" customHeight="1" x14ac:dyDescent="0.25">
      <c r="A35" s="5"/>
      <c r="B35" s="2"/>
      <c r="C35" s="2"/>
      <c r="D35" s="2"/>
      <c r="E35" s="6"/>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row>
    <row r="36" spans="1:127" s="20" customFormat="1" ht="30" customHeight="1" x14ac:dyDescent="0.25">
      <c r="A36" s="5"/>
      <c r="B36" s="2"/>
      <c r="C36" s="2"/>
      <c r="D36" s="2"/>
      <c r="E36" s="6"/>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row>
    <row r="37" spans="1:127" s="20" customFormat="1" ht="30" customHeight="1" x14ac:dyDescent="0.25">
      <c r="A37" s="5"/>
      <c r="B37" s="2"/>
      <c r="C37" s="2"/>
      <c r="D37" s="2"/>
      <c r="E37" s="6"/>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row>
    <row r="38" spans="1:127" s="20" customFormat="1" ht="30" customHeight="1" x14ac:dyDescent="0.25">
      <c r="A38" s="5"/>
      <c r="B38" s="2"/>
      <c r="C38" s="2"/>
      <c r="D38" s="2"/>
      <c r="E38" s="6"/>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row>
    <row r="39" spans="1:127" s="20" customFormat="1" ht="30" customHeight="1" x14ac:dyDescent="0.25">
      <c r="A39" s="5"/>
      <c r="B39" s="2"/>
      <c r="C39" s="2"/>
      <c r="D39" s="2"/>
      <c r="E39" s="6"/>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row>
    <row r="40" spans="1:127" s="20" customFormat="1" ht="30" customHeight="1" x14ac:dyDescent="0.25">
      <c r="A40" s="5"/>
      <c r="B40" s="2"/>
      <c r="C40" s="2"/>
      <c r="D40" s="2"/>
      <c r="E40" s="6"/>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row>
    <row r="41" spans="1:127" s="20" customFormat="1" ht="30" customHeight="1" x14ac:dyDescent="0.25">
      <c r="A41" s="5"/>
      <c r="B41" s="2"/>
      <c r="C41" s="2"/>
      <c r="D41" s="2"/>
      <c r="E41" s="6"/>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row>
    <row r="42" spans="1:127" s="20" customFormat="1" ht="30" customHeight="1" x14ac:dyDescent="0.25">
      <c r="A42" s="46"/>
      <c r="B42" s="2"/>
      <c r="C42" s="2"/>
      <c r="D42" s="2"/>
      <c r="E42" s="6"/>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row>
  </sheetData>
  <mergeCells count="31">
    <mergeCell ref="AD4:AJ4"/>
    <mergeCell ref="AK4:AQ4"/>
    <mergeCell ref="AR2:BA2"/>
    <mergeCell ref="DN2:DV2"/>
    <mergeCell ref="CV4:DB4"/>
    <mergeCell ref="DC4:DI4"/>
    <mergeCell ref="DJ4:DP4"/>
    <mergeCell ref="DQ4:DW4"/>
    <mergeCell ref="BM4:BS4"/>
    <mergeCell ref="BT4:BZ4"/>
    <mergeCell ref="CA4:CG4"/>
    <mergeCell ref="CH4:CN4"/>
    <mergeCell ref="CO4:CU4"/>
    <mergeCell ref="BF4:BL4"/>
    <mergeCell ref="AR4:AX4"/>
    <mergeCell ref="AY4:BE4"/>
    <mergeCell ref="F5:F6"/>
    <mergeCell ref="Q1:Z1"/>
    <mergeCell ref="I3:O3"/>
    <mergeCell ref="B1:F1"/>
    <mergeCell ref="B3:F3"/>
    <mergeCell ref="B2:F2"/>
    <mergeCell ref="Q2:Z2"/>
    <mergeCell ref="I4:O4"/>
    <mergeCell ref="P4:V4"/>
    <mergeCell ref="W4:AC4"/>
    <mergeCell ref="A5:A6"/>
    <mergeCell ref="B5:B6"/>
    <mergeCell ref="C5:C6"/>
    <mergeCell ref="D5:D6"/>
    <mergeCell ref="E5:E6"/>
  </mergeCells>
  <phoneticPr fontId="23" type="noConversion"/>
  <conditionalFormatting sqref="D7:D17">
    <cfRule type="dataBar" priority="2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DW16">
    <cfRule type="expression" dxfId="2" priority="4">
      <formula>AND(TODAY()&gt;=I$5, TODAY()&lt;J$5)</formula>
    </cfRule>
  </conditionalFormatting>
  <conditionalFormatting sqref="I9:DW16">
    <cfRule type="expression" dxfId="1" priority="39">
      <formula>AND(task_start&lt;=I$5,ROUNDDOWN((task_end-task_start+1)*task_progress,0)+task_start-1&gt;=I$5)</formula>
    </cfRule>
    <cfRule type="expression" dxfId="0" priority="40"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3"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 xr:uid="{4F48FC41-E335-47F1-87AA-3333A52AD81C}"/>
    <dataValidation allowBlank="1" showInputMessage="1" showErrorMessage="1" prompt="Phase 3's sample block starts in cell B20." sqref="A23" xr:uid="{956902D1-D3B5-416D-BB69-9362D193BC0A}"/>
    <dataValidation allowBlank="1" showInputMessage="1" showErrorMessage="1" prompt="Phase 4's sample block starts in cell B26." sqref="A29 A3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2" xr:uid="{79B9237E-4DD3-4E0F-8ED6-E0B695A99D96}"/>
  </dataValidations>
  <hyperlinks>
    <hyperlink ref="B18" r:id="rId1" xr:uid="{0640B429-6B37-4047-BBA4-1FCA61083386}"/>
  </hyperlinks>
  <printOptions horizontalCentered="1"/>
  <pageMargins left="0.35" right="0.35" top="0.35" bottom="0.5" header="0.3" footer="0.3"/>
  <pageSetup scale="57" fitToHeight="0" orientation="landscape" r:id="rId2"/>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Mathias Lund - Hansen</cp:lastModifiedBy>
  <cp:revision/>
  <dcterms:created xsi:type="dcterms:W3CDTF">2022-03-11T22:41:12Z</dcterms:created>
  <dcterms:modified xsi:type="dcterms:W3CDTF">2026-03-18T08:45:46Z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